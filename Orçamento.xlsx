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gusto\Documents\Projetos_Engesix\Executivo_to_Material\"/>
    </mc:Choice>
  </mc:AlternateContent>
  <xr:revisionPtr revIDLastSave="0" documentId="13_ncr:1_{8D4CE0C2-1245-493E-A3B0-2D57F4F41A1E}" xr6:coauthVersionLast="47" xr6:coauthVersionMax="47" xr10:uidLastSave="{00000000-0000-0000-0000-000000000000}"/>
  <bookViews>
    <workbookView xWindow="-120" yWindow="-120" windowWidth="29040" windowHeight="15720" activeTab="1" xr2:uid="{42F6D08A-5699-4C25-AE2F-70BF96640140}"/>
  </bookViews>
  <sheets>
    <sheet name="Planilha2" sheetId="2" r:id="rId1"/>
    <sheet name="Planilha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1" i="2" l="1"/>
  <c r="E30" i="2"/>
  <c r="E28" i="2"/>
  <c r="E14" i="2"/>
  <c r="E15" i="2"/>
  <c r="E5" i="2"/>
  <c r="E6" i="2"/>
  <c r="E25" i="2"/>
  <c r="E4" i="2"/>
  <c r="E7" i="2"/>
  <c r="E3" i="2"/>
  <c r="E10" i="2"/>
  <c r="E9" i="2"/>
  <c r="E20" i="2"/>
  <c r="E24" i="2"/>
  <c r="E23" i="2"/>
  <c r="E19" i="2"/>
  <c r="E12" i="2"/>
  <c r="E54" i="4"/>
  <c r="E53" i="4"/>
  <c r="E52" i="4"/>
  <c r="E51" i="4"/>
  <c r="D50" i="4"/>
  <c r="E50" i="4" s="1"/>
  <c r="E49" i="4"/>
  <c r="E32" i="4"/>
  <c r="E31" i="4"/>
  <c r="E25" i="4"/>
  <c r="E24" i="4"/>
  <c r="E23" i="4"/>
  <c r="E19" i="4"/>
  <c r="E18" i="4"/>
  <c r="E15" i="4"/>
  <c r="E12" i="4"/>
  <c r="E11" i="4"/>
  <c r="E9" i="4"/>
  <c r="E7" i="4"/>
  <c r="E6" i="4"/>
  <c r="E27" i="2"/>
  <c r="E18" i="2"/>
  <c r="E17" i="2"/>
  <c r="E13" i="2"/>
  <c r="J39" i="2"/>
  <c r="C33" i="2" l="1"/>
  <c r="E43" i="2" s="1"/>
  <c r="E71" i="4"/>
  <c r="C34" i="2" l="1"/>
  <c r="J41" i="2"/>
  <c r="I41" i="2"/>
</calcChain>
</file>

<file path=xl/sharedStrings.xml><?xml version="1.0" encoding="utf-8"?>
<sst xmlns="http://schemas.openxmlformats.org/spreadsheetml/2006/main" count="158" uniqueCount="130">
  <si>
    <t>ITEM</t>
  </si>
  <si>
    <t>DESCRIÇÃO DO SERVIÇO</t>
  </si>
  <si>
    <t>UND</t>
  </si>
  <si>
    <t>QTD</t>
  </si>
  <si>
    <t xml:space="preserve">TOTAL </t>
  </si>
  <si>
    <t>VLR M.O</t>
  </si>
  <si>
    <t>1.1</t>
  </si>
  <si>
    <t>2.1</t>
  </si>
  <si>
    <t>Pintura</t>
  </si>
  <si>
    <t>Elétrica</t>
  </si>
  <si>
    <t>vb</t>
  </si>
  <si>
    <t>ART de serviço e documentação para liberação de reforma</t>
  </si>
  <si>
    <t>2.2</t>
  </si>
  <si>
    <t>m²</t>
  </si>
  <si>
    <t>4.1</t>
  </si>
  <si>
    <t>Piso</t>
  </si>
  <si>
    <t>Lista de material</t>
  </si>
  <si>
    <t xml:space="preserve">pincel 1/2 </t>
  </si>
  <si>
    <t>pincel de 2''</t>
  </si>
  <si>
    <t>fita crepe larga</t>
  </si>
  <si>
    <t>lixa parede 180</t>
  </si>
  <si>
    <t>lixa parede 150</t>
  </si>
  <si>
    <t>fita veda rosca</t>
  </si>
  <si>
    <t>fita isolante 3m</t>
  </si>
  <si>
    <t>salva piso 15m</t>
  </si>
  <si>
    <t>bianco lata 3,6L</t>
  </si>
  <si>
    <t>vassoura</t>
  </si>
  <si>
    <t>pá</t>
  </si>
  <si>
    <t>Pano</t>
  </si>
  <si>
    <t>Cunha</t>
  </si>
  <si>
    <t>Rejunte Acrilico(escolher a cor)</t>
  </si>
  <si>
    <t>tinta acrilica fosca branca Suvinil</t>
  </si>
  <si>
    <t>tinta acrilica (Não sei qual foi a cor escolhida)</t>
  </si>
  <si>
    <t>Argamassa quartzolite piso sob piso externa</t>
  </si>
  <si>
    <t>rolo de pintura tigre 23 cm antirespingo</t>
  </si>
  <si>
    <t>Saco de entulho</t>
  </si>
  <si>
    <t>Disco de corte porcelanato cortag</t>
  </si>
  <si>
    <t>Disco de lixa diamantado 150 para porcelanato</t>
  </si>
  <si>
    <t>TOTAL COM NOTA FISCAL (SE NECESSÁRIO)</t>
  </si>
  <si>
    <t>Serviços de Engenharia</t>
  </si>
  <si>
    <t>Espaçador (verificar qual é o que o piso pede)</t>
  </si>
  <si>
    <t>50m</t>
  </si>
  <si>
    <t>fio 1,5mm² azul SIL</t>
  </si>
  <si>
    <t>fio 1,5mm² amarelo SIL</t>
  </si>
  <si>
    <t>valor</t>
  </si>
  <si>
    <t>Tomadas e preparação para a marcenaria</t>
  </si>
  <si>
    <t>1.2</t>
  </si>
  <si>
    <t>3.1</t>
  </si>
  <si>
    <t>5.1</t>
  </si>
  <si>
    <t>Porcelanato 90x90cm</t>
  </si>
  <si>
    <t>arquiteta</t>
  </si>
  <si>
    <t>Rodapé</t>
  </si>
  <si>
    <t>a definir</t>
  </si>
  <si>
    <t>P.U</t>
  </si>
  <si>
    <t>Massa de calafetar</t>
  </si>
  <si>
    <t>RALO</t>
  </si>
  <si>
    <t>1 lata 18L</t>
  </si>
  <si>
    <t xml:space="preserve">1 lata 18L </t>
  </si>
  <si>
    <t xml:space="preserve">Massa pra drywall 25kg </t>
  </si>
  <si>
    <t>Massa corrida SUVINIL 25 kg</t>
  </si>
  <si>
    <t>fio 2,5mm vermelho</t>
  </si>
  <si>
    <t>25m</t>
  </si>
  <si>
    <t>fio 2,5mm azul</t>
  </si>
  <si>
    <t>Conduite 1/2</t>
  </si>
  <si>
    <t>caixa 4x2 drywall</t>
  </si>
  <si>
    <t>interruptor completo</t>
  </si>
  <si>
    <t>tomada completa</t>
  </si>
  <si>
    <t>Luminarias embutir</t>
  </si>
  <si>
    <t>conjunto LED + FONTE</t>
  </si>
  <si>
    <t>Placa drywall</t>
  </si>
  <si>
    <t>tabica</t>
  </si>
  <si>
    <t>f530</t>
  </si>
  <si>
    <t>montante</t>
  </si>
  <si>
    <t>cantoneira</t>
  </si>
  <si>
    <t>tirante arame  e regulador</t>
  </si>
  <si>
    <t>2 kg+ 30 reguladores</t>
  </si>
  <si>
    <t>parafuso drywall</t>
  </si>
  <si>
    <t>parafuso e bucha 6</t>
  </si>
  <si>
    <t>fita drywall</t>
  </si>
  <si>
    <t>material Ar Condicionado</t>
  </si>
  <si>
    <t>Tubo do dreno</t>
  </si>
  <si>
    <t>Batente + porta</t>
  </si>
  <si>
    <t>?</t>
  </si>
  <si>
    <t>Espuma expansiva</t>
  </si>
  <si>
    <t>Hidraulica</t>
  </si>
  <si>
    <t>300 reais</t>
  </si>
  <si>
    <t>frete</t>
  </si>
  <si>
    <t>itens adicionais</t>
  </si>
  <si>
    <t>TOTAL</t>
  </si>
  <si>
    <t>Nivelamento de piso</t>
  </si>
  <si>
    <t>1.3</t>
  </si>
  <si>
    <t xml:space="preserve">Instalação de luminárias </t>
  </si>
  <si>
    <t>Demolição</t>
  </si>
  <si>
    <t>Construção</t>
  </si>
  <si>
    <t>Remoção de pisos e revestimentos existentes</t>
  </si>
  <si>
    <t>Hidráulica</t>
  </si>
  <si>
    <t>Instalação de torre de tomada em bancadas</t>
  </si>
  <si>
    <t>7.1</t>
  </si>
  <si>
    <t>8.1</t>
  </si>
  <si>
    <t>1.4</t>
  </si>
  <si>
    <t>3.2</t>
  </si>
  <si>
    <t>4.2</t>
  </si>
  <si>
    <t>4.3</t>
  </si>
  <si>
    <t>4.5</t>
  </si>
  <si>
    <t>5.2</t>
  </si>
  <si>
    <t>m</t>
  </si>
  <si>
    <t>Criar Abertura de Nicho</t>
  </si>
  <si>
    <t>Retirada de louças e metais existentes</t>
  </si>
  <si>
    <t>Construção de nicho</t>
  </si>
  <si>
    <t>Instalação de Interruptores e campainhas</t>
  </si>
  <si>
    <t>Movimentação de pontos água frita</t>
  </si>
  <si>
    <t>Movimentação de pontos esgoto</t>
  </si>
  <si>
    <t>Movimentação de gás e registro geral</t>
  </si>
  <si>
    <t>5.3</t>
  </si>
  <si>
    <t>1.5</t>
  </si>
  <si>
    <t>Remoção de bancadas existentes</t>
  </si>
  <si>
    <t>Instalação Rodapé Santa Luzia</t>
  </si>
  <si>
    <t>3.4</t>
  </si>
  <si>
    <t>3.5</t>
  </si>
  <si>
    <t>Revestimentos</t>
  </si>
  <si>
    <t>6.1</t>
  </si>
  <si>
    <t>6.2</t>
  </si>
  <si>
    <t>Aumentar Parede 10cm</t>
  </si>
  <si>
    <t>Remoção das portas da varanda</t>
  </si>
  <si>
    <t>Remanejo dos pontos elétricos</t>
  </si>
  <si>
    <t>Instalação de Piso Porcelanato Kyoto Cement AC (sem material)</t>
  </si>
  <si>
    <t>Instalação de Piso Vinílico Tarkett Papoula (sem material)</t>
  </si>
  <si>
    <t>Cimento Queimado Off White - Decor Colors</t>
  </si>
  <si>
    <t>Tinta Acrílica Branco Gatinho</t>
  </si>
  <si>
    <t>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</si>
</sst>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-416]\ #,##0.00;\-[$R$-416]\ #,##0.00"/>
    <numFmt numFmtId="165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F1F1F"/>
      <name val="Arial"/>
      <family val="2"/>
    </font>
    <font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4" fontId="0" fillId="0" borderId="0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44" fontId="2" fillId="0" borderId="0" xfId="1" applyFont="1" applyFill="1" applyBorder="1" applyAlignment="1">
      <alignment horizontal="center" vertical="center"/>
    </xf>
    <xf numFmtId="0" fontId="0" fillId="0" borderId="0" xfId="0" applyFill="1" applyBorder="1"/>
    <xf numFmtId="44" fontId="0" fillId="0" borderId="0" xfId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5" borderId="0" xfId="0" applyFill="1" applyBorder="1"/>
    <xf numFmtId="0" fontId="0" fillId="0" borderId="0" xfId="0" quotePrefix="1" applyBorder="1"/>
    <xf numFmtId="44" fontId="0" fillId="0" borderId="0" xfId="1" applyFont="1" applyBorder="1"/>
    <xf numFmtId="0" fontId="0" fillId="6" borderId="0" xfId="0" applyFill="1" applyBorder="1" applyAlignment="1">
      <alignment horizontal="center" vertical="center"/>
    </xf>
    <xf numFmtId="44" fontId="0" fillId="0" borderId="0" xfId="1" applyFont="1"/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6" borderId="0" xfId="0" quotePrefix="1" applyFill="1" applyBorder="1" applyAlignment="1">
      <alignment horizontal="left" vertical="center" wrapText="1"/>
    </xf>
    <xf numFmtId="16" fontId="0" fillId="0" borderId="0" xfId="0" applyNumberFormat="1"/>
    <xf numFmtId="0" fontId="0" fillId="0" borderId="0" xfId="0" applyBorder="1" applyAlignment="1">
      <alignment horizontal="left" vertical="center" wrapText="1"/>
    </xf>
    <xf numFmtId="44" fontId="5" fillId="0" borderId="0" xfId="1" applyFont="1" applyBorder="1" applyAlignment="1">
      <alignment horizontal="center" vertical="center"/>
    </xf>
    <xf numFmtId="44" fontId="0" fillId="0" borderId="0" xfId="0" applyNumberFormat="1" applyBorder="1" applyAlignment="1">
      <alignment horizontal="center" vertical="center"/>
    </xf>
    <xf numFmtId="0" fontId="0" fillId="6" borderId="0" xfId="0" applyFill="1" applyBorder="1" applyAlignment="1">
      <alignment horizontal="left" vertical="center" wrapText="1"/>
    </xf>
    <xf numFmtId="44" fontId="0" fillId="6" borderId="0" xfId="1" quotePrefix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44" fontId="0" fillId="6" borderId="0" xfId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wrapText="1"/>
    </xf>
    <xf numFmtId="164" fontId="2" fillId="6" borderId="0" xfId="1" applyNumberFormat="1" applyFont="1" applyFill="1" applyBorder="1" applyAlignment="1">
      <alignment horizontal="center" vertical="center"/>
    </xf>
    <xf numFmtId="44" fontId="2" fillId="6" borderId="0" xfId="1" applyFont="1" applyFill="1" applyBorder="1" applyAlignment="1">
      <alignment horizontal="center" vertical="center"/>
    </xf>
    <xf numFmtId="0" fontId="0" fillId="6" borderId="0" xfId="0" applyFill="1" applyBorder="1"/>
    <xf numFmtId="44" fontId="5" fillId="6" borderId="0" xfId="1" applyFont="1" applyFill="1" applyBorder="1" applyAlignment="1">
      <alignment horizontal="center" vertical="center"/>
    </xf>
    <xf numFmtId="0" fontId="0" fillId="6" borderId="0" xfId="0" quotePrefix="1" applyFill="1" applyBorder="1" applyAlignment="1">
      <alignment horizontal="center" vertical="center"/>
    </xf>
    <xf numFmtId="44" fontId="0" fillId="0" borderId="0" xfId="1" quotePrefix="1" applyFont="1" applyBorder="1" applyAlignment="1">
      <alignment horizontal="center" vertical="center"/>
    </xf>
    <xf numFmtId="0" fontId="0" fillId="6" borderId="0" xfId="0" applyFill="1" applyBorder="1" applyAlignment="1">
      <alignment horizontal="left" vertical="center"/>
    </xf>
    <xf numFmtId="164" fontId="2" fillId="6" borderId="0" xfId="0" applyNumberFormat="1" applyFon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44" fontId="2" fillId="3" borderId="0" xfId="1" applyFont="1" applyFill="1" applyBorder="1" applyAlignment="1">
      <alignment horizontal="center" vertical="center"/>
    </xf>
    <xf numFmtId="0" fontId="0" fillId="6" borderId="0" xfId="0" quotePrefix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4" fontId="5" fillId="8" borderId="1" xfId="1" applyFont="1" applyFill="1" applyBorder="1" applyAlignment="1">
      <alignment horizontal="center" vertical="center"/>
    </xf>
    <xf numFmtId="44" fontId="0" fillId="8" borderId="1" xfId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indent="2"/>
    </xf>
    <xf numFmtId="0" fontId="2" fillId="4" borderId="4" xfId="0" applyFont="1" applyFill="1" applyBorder="1" applyAlignment="1">
      <alignment horizontal="left" vertical="center" indent="2"/>
    </xf>
    <xf numFmtId="0" fontId="2" fillId="4" borderId="3" xfId="0" applyFont="1" applyFill="1" applyBorder="1" applyAlignment="1">
      <alignment horizontal="left" vertical="center" indent="2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Border="1"/>
    <xf numFmtId="0" fontId="0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left" vertical="center" wrapText="1"/>
    </xf>
    <xf numFmtId="44" fontId="0" fillId="0" borderId="0" xfId="0" applyNumberFormat="1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8" borderId="2" xfId="0" applyFont="1" applyFill="1" applyBorder="1" applyAlignment="1">
      <alignment horizontal="left" vertical="center" wrapText="1"/>
    </xf>
    <xf numFmtId="0" fontId="0" fillId="8" borderId="4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164" fontId="2" fillId="9" borderId="2" xfId="1" applyNumberFormat="1" applyFont="1" applyFill="1" applyBorder="1" applyAlignment="1">
      <alignment horizontal="center" vertical="center"/>
    </xf>
    <xf numFmtId="164" fontId="2" fillId="9" borderId="4" xfId="1" applyNumberFormat="1" applyFont="1" applyFill="1" applyBorder="1" applyAlignment="1">
      <alignment horizontal="center" vertical="center"/>
    </xf>
    <xf numFmtId="164" fontId="2" fillId="9" borderId="3" xfId="1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2"/>
    </xf>
    <xf numFmtId="0" fontId="2" fillId="4" borderId="4" xfId="0" applyFont="1" applyFill="1" applyBorder="1" applyAlignment="1">
      <alignment horizontal="left" vertical="center" indent="2"/>
    </xf>
    <xf numFmtId="0" fontId="2" fillId="4" borderId="3" xfId="0" applyFont="1" applyFill="1" applyBorder="1" applyAlignment="1">
      <alignment horizontal="left" vertical="center" indent="2"/>
    </xf>
    <xf numFmtId="0" fontId="2" fillId="7" borderId="2" xfId="0" applyFont="1" applyFill="1" applyBorder="1" applyAlignment="1">
      <alignment horizontal="left" vertical="center" indent="2"/>
    </xf>
    <xf numFmtId="0" fontId="2" fillId="7" borderId="4" xfId="0" applyFont="1" applyFill="1" applyBorder="1" applyAlignment="1">
      <alignment horizontal="left" vertical="center" indent="2"/>
    </xf>
    <xf numFmtId="0" fontId="2" fillId="7" borderId="3" xfId="0" applyFont="1" applyFill="1" applyBorder="1" applyAlignment="1">
      <alignment horizontal="left" vertical="center" indent="2"/>
    </xf>
    <xf numFmtId="0" fontId="0" fillId="6" borderId="0" xfId="0" applyFill="1" applyBorder="1" applyAlignment="1">
      <alignment horizontal="center"/>
    </xf>
    <xf numFmtId="0" fontId="0" fillId="6" borderId="0" xfId="0" quotePrefix="1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6" borderId="0" xfId="0" quotePrefix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center"/>
    </xf>
    <xf numFmtId="0" fontId="0" fillId="6" borderId="0" xfId="0" quotePrefix="1" applyFill="1" applyBorder="1" applyAlignment="1">
      <alignment horizontal="center" wrapText="1"/>
    </xf>
    <xf numFmtId="44" fontId="0" fillId="0" borderId="0" xfId="1" applyFont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336176</xdr:colOff>
      <xdr:row>38</xdr:row>
      <xdr:rowOff>0</xdr:rowOff>
    </xdr:from>
    <xdr:to>
      <xdr:col>18</xdr:col>
      <xdr:colOff>525230</xdr:colOff>
      <xdr:row>56</xdr:row>
      <xdr:rowOff>61071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340741E-2EED-0406-6C21-DCFCD10B9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04441" y="5905500"/>
          <a:ext cx="2609524" cy="348571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72EC-1FC0-48E1-AA8E-CAB30F6B95FB}">
  <dimension ref="A1:AL106"/>
  <sheetViews>
    <sheetView showGridLines="0" zoomScale="90" zoomScaleNormal="90" workbookViewId="0">
      <selection activeCell="G13" sqref="G13"/>
    </sheetView>
  </sheetViews>
  <sheetFormatPr defaultRowHeight="15" x14ac:dyDescent="0.25"/>
  <cols>
    <col min="1" max="1" width="5.85546875" style="3" bestFit="1" customWidth="1"/>
    <col min="2" max="2" width="52.140625" style="4" bestFit="1" customWidth="1"/>
    <col min="3" max="3" width="6.7109375" style="4" bestFit="1" customWidth="1"/>
    <col min="4" max="4" width="5.42578125" style="4" customWidth="1"/>
    <col min="5" max="5" width="13.85546875" style="3" bestFit="1" customWidth="1"/>
    <col min="6" max="6" width="15" style="17" customWidth="1"/>
    <col min="7" max="7" width="16.140625" style="4" customWidth="1"/>
    <col min="8" max="8" width="16.7109375" style="4" customWidth="1"/>
    <col min="9" max="9" width="27.7109375" style="4" customWidth="1"/>
    <col min="10" max="10" width="14" style="4" customWidth="1"/>
    <col min="11" max="11" width="12.140625" style="4" bestFit="1" customWidth="1"/>
    <col min="12" max="12" width="13" style="4" customWidth="1"/>
    <col min="13" max="13" width="44.140625" style="4" customWidth="1"/>
    <col min="14" max="14" width="12.5703125" style="4" customWidth="1"/>
    <col min="15" max="16384" width="9.140625" style="4"/>
  </cols>
  <sheetData>
    <row r="1" spans="1:38" customFormat="1" ht="21.75" customHeight="1" x14ac:dyDescent="0.25">
      <c r="A1" s="49" t="s">
        <v>0</v>
      </c>
      <c r="B1" s="50" t="s">
        <v>1</v>
      </c>
      <c r="C1" s="49" t="s">
        <v>3</v>
      </c>
      <c r="D1" s="49" t="s">
        <v>2</v>
      </c>
      <c r="E1" s="49" t="s">
        <v>5</v>
      </c>
      <c r="F1" s="1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s="55" customFormat="1" x14ac:dyDescent="0.25">
      <c r="A2" s="45">
        <v>1</v>
      </c>
      <c r="B2" s="51" t="s">
        <v>92</v>
      </c>
      <c r="C2" s="52"/>
      <c r="D2" s="52"/>
      <c r="E2" s="53"/>
      <c r="F2" s="1"/>
      <c r="G2" s="54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</row>
    <row r="3" spans="1:38" s="55" customFormat="1" x14ac:dyDescent="0.25">
      <c r="A3" s="57" t="s">
        <v>6</v>
      </c>
      <c r="B3" s="58" t="s">
        <v>106</v>
      </c>
      <c r="C3" s="57">
        <v>1</v>
      </c>
      <c r="D3" s="57" t="s">
        <v>10</v>
      </c>
      <c r="E3" s="46">
        <f>C3*130*1.05</f>
        <v>136.5</v>
      </c>
      <c r="F3" s="1"/>
      <c r="G3" s="59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</row>
    <row r="4" spans="1:38" s="55" customFormat="1" x14ac:dyDescent="0.25">
      <c r="A4" s="57" t="s">
        <v>46</v>
      </c>
      <c r="B4" s="62" t="s">
        <v>94</v>
      </c>
      <c r="C4" s="57">
        <v>1</v>
      </c>
      <c r="D4" s="57" t="s">
        <v>10</v>
      </c>
      <c r="E4" s="46">
        <f t="shared" ref="E4:E7" si="0">C4*130*1.05</f>
        <v>136.5</v>
      </c>
      <c r="F4" s="1"/>
      <c r="G4" s="59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</row>
    <row r="5" spans="1:38" s="55" customFormat="1" x14ac:dyDescent="0.25">
      <c r="A5" s="57" t="s">
        <v>90</v>
      </c>
      <c r="B5" s="62" t="s">
        <v>107</v>
      </c>
      <c r="C5" s="57">
        <v>1</v>
      </c>
      <c r="D5" s="57" t="s">
        <v>10</v>
      </c>
      <c r="E5" s="46">
        <f t="shared" ref="E5:E6" si="1">C5*130*1.05</f>
        <v>136.5</v>
      </c>
      <c r="F5" s="1"/>
      <c r="G5" s="59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</row>
    <row r="6" spans="1:38" s="55" customFormat="1" x14ac:dyDescent="0.25">
      <c r="A6" s="57" t="s">
        <v>99</v>
      </c>
      <c r="B6" s="62" t="s">
        <v>115</v>
      </c>
      <c r="C6" s="57">
        <v>1</v>
      </c>
      <c r="D6" s="57" t="s">
        <v>10</v>
      </c>
      <c r="E6" s="46">
        <f t="shared" si="1"/>
        <v>136.5</v>
      </c>
      <c r="F6" s="1"/>
      <c r="G6" s="59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</row>
    <row r="7" spans="1:38" s="55" customFormat="1" x14ac:dyDescent="0.25">
      <c r="A7" s="57" t="s">
        <v>114</v>
      </c>
      <c r="B7" s="62" t="s">
        <v>123</v>
      </c>
      <c r="C7" s="57">
        <v>1</v>
      </c>
      <c r="D7" s="57" t="s">
        <v>10</v>
      </c>
      <c r="E7" s="46">
        <f t="shared" si="0"/>
        <v>136.5</v>
      </c>
      <c r="F7" s="1"/>
      <c r="G7" s="59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</row>
    <row r="8" spans="1:38" s="55" customFormat="1" x14ac:dyDescent="0.25">
      <c r="A8" s="45">
        <v>2</v>
      </c>
      <c r="B8" s="51" t="s">
        <v>93</v>
      </c>
      <c r="C8" s="52"/>
      <c r="D8" s="52"/>
      <c r="E8" s="53"/>
      <c r="F8" s="1"/>
      <c r="G8" s="54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</row>
    <row r="9" spans="1:38" s="55" customFormat="1" x14ac:dyDescent="0.25">
      <c r="A9" s="57" t="s">
        <v>7</v>
      </c>
      <c r="B9" s="62" t="s">
        <v>122</v>
      </c>
      <c r="C9" s="57">
        <v>0.26</v>
      </c>
      <c r="D9" s="57" t="s">
        <v>13</v>
      </c>
      <c r="E9" s="46">
        <f>C9*130*1.05</f>
        <v>35.490000000000009</v>
      </c>
      <c r="F9" s="1"/>
      <c r="G9" s="59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</row>
    <row r="10" spans="1:38" s="55" customFormat="1" x14ac:dyDescent="0.25">
      <c r="A10" s="57" t="s">
        <v>12</v>
      </c>
      <c r="B10" s="62" t="s">
        <v>108</v>
      </c>
      <c r="C10" s="57">
        <v>1</v>
      </c>
      <c r="D10" s="57" t="s">
        <v>10</v>
      </c>
      <c r="E10" s="46">
        <f t="shared" ref="E10" si="2">C10*130*1.05</f>
        <v>136.5</v>
      </c>
      <c r="F10" s="1"/>
      <c r="G10" s="59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</row>
    <row r="11" spans="1:38" s="55" customFormat="1" x14ac:dyDescent="0.25">
      <c r="A11" s="45">
        <v>3</v>
      </c>
      <c r="B11" s="69" t="s">
        <v>15</v>
      </c>
      <c r="C11" s="70"/>
      <c r="D11" s="70"/>
      <c r="E11" s="71"/>
      <c r="F11" s="1"/>
      <c r="G11" s="54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</row>
    <row r="12" spans="1:38" s="55" customFormat="1" x14ac:dyDescent="0.25">
      <c r="A12" s="57" t="s">
        <v>47</v>
      </c>
      <c r="B12" s="58" t="s">
        <v>89</v>
      </c>
      <c r="C12" s="57">
        <v>0</v>
      </c>
      <c r="D12" s="57" t="s">
        <v>13</v>
      </c>
      <c r="E12" s="46">
        <f>C12*130*1.05</f>
        <v>0</v>
      </c>
      <c r="F12" s="1"/>
      <c r="G12" s="59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</row>
    <row r="13" spans="1:38" s="55" customFormat="1" ht="30" x14ac:dyDescent="0.25">
      <c r="A13" s="57" t="s">
        <v>100</v>
      </c>
      <c r="B13" s="58" t="s">
        <v>125</v>
      </c>
      <c r="C13" s="57">
        <v>3</v>
      </c>
      <c r="D13" s="57" t="s">
        <v>13</v>
      </c>
      <c r="E13" s="46">
        <f>C13*130*1.05</f>
        <v>409.5</v>
      </c>
      <c r="F13" s="1"/>
      <c r="G13" s="59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</row>
    <row r="14" spans="1:38" s="55" customFormat="1" ht="30" x14ac:dyDescent="0.25">
      <c r="A14" s="57" t="s">
        <v>117</v>
      </c>
      <c r="B14" s="62" t="s">
        <v>126</v>
      </c>
      <c r="C14" s="57">
        <v>22</v>
      </c>
      <c r="D14" s="57" t="s">
        <v>105</v>
      </c>
      <c r="E14" s="46">
        <f t="shared" ref="E14:E15" si="3">C14*40*1.05</f>
        <v>924</v>
      </c>
      <c r="F14" s="1"/>
      <c r="G14" s="59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</row>
    <row r="15" spans="1:38" s="55" customFormat="1" x14ac:dyDescent="0.25">
      <c r="A15" s="57" t="s">
        <v>118</v>
      </c>
      <c r="B15" s="58" t="s">
        <v>116</v>
      </c>
      <c r="C15" s="57">
        <v>14</v>
      </c>
      <c r="D15" s="57" t="s">
        <v>105</v>
      </c>
      <c r="E15" s="46">
        <f t="shared" si="3"/>
        <v>588</v>
      </c>
      <c r="F15" s="1"/>
      <c r="G15" s="59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</row>
    <row r="16" spans="1:38" s="55" customFormat="1" x14ac:dyDescent="0.25">
      <c r="A16" s="45">
        <v>4</v>
      </c>
      <c r="B16" s="69" t="s">
        <v>9</v>
      </c>
      <c r="C16" s="70"/>
      <c r="D16" s="70"/>
      <c r="E16" s="71"/>
      <c r="F16" s="1"/>
      <c r="G16" s="59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</row>
    <row r="17" spans="1:38" s="55" customFormat="1" x14ac:dyDescent="0.25">
      <c r="A17" s="57" t="s">
        <v>14</v>
      </c>
      <c r="B17" s="58" t="s">
        <v>91</v>
      </c>
      <c r="C17" s="57">
        <v>1</v>
      </c>
      <c r="D17" s="57" t="s">
        <v>10</v>
      </c>
      <c r="E17" s="47">
        <f>600*1.05</f>
        <v>630</v>
      </c>
      <c r="F17" s="1"/>
      <c r="G17" s="54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</row>
    <row r="18" spans="1:38" s="55" customFormat="1" x14ac:dyDescent="0.25">
      <c r="A18" s="57" t="s">
        <v>101</v>
      </c>
      <c r="B18" s="58" t="s">
        <v>45</v>
      </c>
      <c r="C18" s="57">
        <v>1</v>
      </c>
      <c r="D18" s="57" t="s">
        <v>10</v>
      </c>
      <c r="E18" s="47">
        <f>600*1.05</f>
        <v>630</v>
      </c>
      <c r="F18" s="19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</row>
    <row r="19" spans="1:38" s="55" customFormat="1" x14ac:dyDescent="0.25">
      <c r="A19" s="57" t="s">
        <v>102</v>
      </c>
      <c r="B19" s="62" t="s">
        <v>109</v>
      </c>
      <c r="C19" s="57">
        <v>1</v>
      </c>
      <c r="D19" s="57" t="s">
        <v>10</v>
      </c>
      <c r="E19" s="47">
        <f>600*1.05</f>
        <v>630</v>
      </c>
      <c r="F19" s="19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</row>
    <row r="20" spans="1:38" s="55" customFormat="1" x14ac:dyDescent="0.25">
      <c r="A20" s="57" t="s">
        <v>103</v>
      </c>
      <c r="B20" s="62" t="s">
        <v>96</v>
      </c>
      <c r="C20" s="57">
        <v>1</v>
      </c>
      <c r="D20" s="57" t="s">
        <v>10</v>
      </c>
      <c r="E20" s="47">
        <f t="shared" ref="E20:E21" si="4">600*1.05</f>
        <v>630</v>
      </c>
      <c r="F20" s="19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</row>
    <row r="21" spans="1:38" s="55" customFormat="1" x14ac:dyDescent="0.25">
      <c r="A21" s="57" t="s">
        <v>129</v>
      </c>
      <c r="B21" s="62" t="s">
        <v>124</v>
      </c>
      <c r="C21" s="63">
        <v>1</v>
      </c>
      <c r="D21" s="57" t="s">
        <v>10</v>
      </c>
      <c r="E21" s="47">
        <f t="shared" si="4"/>
        <v>630</v>
      </c>
      <c r="F21" s="19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</row>
    <row r="22" spans="1:38" s="55" customFormat="1" x14ac:dyDescent="0.25">
      <c r="A22" s="45">
        <v>5</v>
      </c>
      <c r="B22" s="51" t="s">
        <v>95</v>
      </c>
      <c r="C22" s="52"/>
      <c r="D22" s="52"/>
      <c r="E22" s="53"/>
      <c r="F22" s="1"/>
      <c r="G22" s="54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</row>
    <row r="23" spans="1:38" s="55" customFormat="1" x14ac:dyDescent="0.25">
      <c r="A23" s="57" t="s">
        <v>48</v>
      </c>
      <c r="B23" s="62" t="s">
        <v>110</v>
      </c>
      <c r="C23" s="57">
        <v>1</v>
      </c>
      <c r="D23" s="57" t="s">
        <v>10</v>
      </c>
      <c r="E23" s="47">
        <f>600*1.05</f>
        <v>630</v>
      </c>
      <c r="F23" s="1"/>
      <c r="G23" s="59"/>
      <c r="H23" s="54"/>
      <c r="I23" s="60"/>
      <c r="J23" s="60"/>
      <c r="K23" s="60"/>
      <c r="L23" s="60"/>
      <c r="M23" s="61"/>
      <c r="N23" s="60"/>
      <c r="O23" s="60"/>
      <c r="P23" s="60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</row>
    <row r="24" spans="1:38" s="55" customFormat="1" x14ac:dyDescent="0.25">
      <c r="A24" s="57" t="s">
        <v>104</v>
      </c>
      <c r="B24" s="62" t="s">
        <v>111</v>
      </c>
      <c r="C24" s="57">
        <v>1</v>
      </c>
      <c r="D24" s="57" t="s">
        <v>10</v>
      </c>
      <c r="E24" s="47">
        <f>600*1.05</f>
        <v>630</v>
      </c>
      <c r="F24" s="1"/>
      <c r="G24" s="59"/>
      <c r="H24" s="54"/>
      <c r="I24" s="60"/>
      <c r="J24" s="60"/>
      <c r="K24" s="60"/>
      <c r="L24" s="60"/>
      <c r="M24" s="61"/>
      <c r="N24" s="60"/>
      <c r="O24" s="60"/>
      <c r="P24" s="60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</row>
    <row r="25" spans="1:38" s="55" customFormat="1" x14ac:dyDescent="0.25">
      <c r="A25" s="57" t="s">
        <v>113</v>
      </c>
      <c r="B25" s="62" t="s">
        <v>112</v>
      </c>
      <c r="C25" s="57">
        <v>1</v>
      </c>
      <c r="D25" s="57" t="s">
        <v>10</v>
      </c>
      <c r="E25" s="47">
        <f>600*1.05</f>
        <v>630</v>
      </c>
      <c r="F25" s="1"/>
      <c r="G25" s="59"/>
      <c r="H25" s="54"/>
      <c r="I25" s="60"/>
      <c r="J25" s="60"/>
      <c r="K25" s="60"/>
      <c r="L25" s="60"/>
      <c r="M25" s="61"/>
      <c r="N25" s="60"/>
      <c r="O25" s="60"/>
      <c r="P25" s="60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</row>
    <row r="26" spans="1:38" s="55" customFormat="1" x14ac:dyDescent="0.25">
      <c r="A26" s="45">
        <v>6</v>
      </c>
      <c r="B26" s="69" t="s">
        <v>8</v>
      </c>
      <c r="C26" s="70"/>
      <c r="D26" s="70"/>
      <c r="E26" s="71"/>
      <c r="F26" s="1"/>
      <c r="G26" s="54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</row>
    <row r="27" spans="1:38" s="55" customFormat="1" x14ac:dyDescent="0.25">
      <c r="A27" s="57" t="s">
        <v>120</v>
      </c>
      <c r="B27" s="58" t="s">
        <v>127</v>
      </c>
      <c r="C27" s="57">
        <v>14</v>
      </c>
      <c r="D27" s="57" t="s">
        <v>13</v>
      </c>
      <c r="E27" s="46">
        <f>3800*1.05</f>
        <v>3990</v>
      </c>
      <c r="F27" s="1"/>
      <c r="G27" s="59"/>
      <c r="H27" s="54"/>
      <c r="I27" s="60"/>
      <c r="J27" s="60"/>
      <c r="K27" s="60"/>
      <c r="L27" s="60"/>
      <c r="M27" s="61"/>
      <c r="N27" s="60"/>
      <c r="O27" s="60"/>
      <c r="P27" s="60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</row>
    <row r="28" spans="1:38" s="55" customFormat="1" x14ac:dyDescent="0.25">
      <c r="A28" s="57" t="s">
        <v>121</v>
      </c>
      <c r="B28" s="62" t="s">
        <v>128</v>
      </c>
      <c r="C28" s="57">
        <v>87</v>
      </c>
      <c r="D28" s="57" t="s">
        <v>13</v>
      </c>
      <c r="E28" s="46">
        <f>3800*1.05</f>
        <v>3990</v>
      </c>
      <c r="F28" s="1"/>
      <c r="G28" s="59"/>
      <c r="H28" s="54"/>
      <c r="I28" s="60"/>
      <c r="J28" s="60"/>
      <c r="K28" s="60"/>
      <c r="L28" s="60"/>
      <c r="M28" s="61"/>
      <c r="N28" s="60"/>
      <c r="O28" s="60"/>
      <c r="P28" s="60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</row>
    <row r="29" spans="1:38" s="55" customFormat="1" x14ac:dyDescent="0.25">
      <c r="A29" s="45">
        <v>7</v>
      </c>
      <c r="B29" s="69" t="s">
        <v>119</v>
      </c>
      <c r="C29" s="70"/>
      <c r="D29" s="70"/>
      <c r="E29" s="71"/>
      <c r="F29" s="1"/>
      <c r="G29" s="54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</row>
    <row r="30" spans="1:38" s="55" customFormat="1" ht="30" x14ac:dyDescent="0.25">
      <c r="A30" s="57" t="s">
        <v>97</v>
      </c>
      <c r="B30" s="58" t="s">
        <v>125</v>
      </c>
      <c r="C30" s="57">
        <v>20</v>
      </c>
      <c r="D30" s="57" t="s">
        <v>13</v>
      </c>
      <c r="E30" s="46">
        <f>3800*1.05</f>
        <v>3990</v>
      </c>
      <c r="F30" s="1"/>
      <c r="G30" s="59"/>
      <c r="H30" s="54"/>
      <c r="I30" s="60"/>
      <c r="J30" s="60"/>
      <c r="K30" s="60"/>
      <c r="L30" s="60"/>
      <c r="M30" s="61"/>
      <c r="N30" s="60"/>
      <c r="O30" s="60"/>
      <c r="P30" s="60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</row>
    <row r="31" spans="1:38" s="55" customFormat="1" x14ac:dyDescent="0.25">
      <c r="A31" s="48">
        <v>8</v>
      </c>
      <c r="B31" s="72" t="s">
        <v>39</v>
      </c>
      <c r="C31" s="73"/>
      <c r="D31" s="73"/>
      <c r="E31" s="74"/>
      <c r="F31" s="1"/>
      <c r="G31" s="59"/>
      <c r="H31" s="54"/>
      <c r="I31" s="61"/>
      <c r="J31" s="61"/>
      <c r="K31" s="61"/>
      <c r="L31" s="60"/>
      <c r="M31" s="61"/>
      <c r="N31" s="60"/>
      <c r="O31" s="60"/>
      <c r="P31" s="60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</row>
    <row r="32" spans="1:38" s="55" customFormat="1" ht="30" x14ac:dyDescent="0.25">
      <c r="A32" s="57" t="s">
        <v>98</v>
      </c>
      <c r="B32" s="58" t="s">
        <v>11</v>
      </c>
      <c r="C32" s="57">
        <v>1</v>
      </c>
      <c r="D32" s="57" t="s">
        <v>10</v>
      </c>
      <c r="E32" s="47">
        <v>600</v>
      </c>
      <c r="F32" s="1"/>
      <c r="G32" s="59"/>
      <c r="H32" s="54"/>
      <c r="I32" s="61"/>
      <c r="J32" s="61"/>
      <c r="K32" s="61"/>
      <c r="L32" s="60"/>
      <c r="M32" s="61"/>
      <c r="N32" s="60"/>
      <c r="O32" s="60"/>
      <c r="P32" s="60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</row>
    <row r="33" spans="1:38" s="55" customFormat="1" x14ac:dyDescent="0.25">
      <c r="A33" s="64" t="s">
        <v>4</v>
      </c>
      <c r="B33" s="65"/>
      <c r="C33" s="66">
        <f>SUM(E13:E32)</f>
        <v>19531.5</v>
      </c>
      <c r="D33" s="67"/>
      <c r="E33" s="68"/>
      <c r="F33" s="1"/>
      <c r="G33" s="59"/>
      <c r="H33" s="54"/>
      <c r="I33" s="61"/>
      <c r="J33" s="61"/>
      <c r="K33" s="61"/>
      <c r="L33" s="60"/>
      <c r="M33" s="61"/>
      <c r="N33" s="60"/>
      <c r="O33" s="60"/>
      <c r="P33" s="60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</row>
    <row r="34" spans="1:38" s="55" customFormat="1" ht="15" customHeight="1" x14ac:dyDescent="0.25">
      <c r="A34" s="64" t="s">
        <v>38</v>
      </c>
      <c r="B34" s="65"/>
      <c r="C34" s="66">
        <f>C33*1.12</f>
        <v>21875.280000000002</v>
      </c>
      <c r="D34" s="67"/>
      <c r="E34" s="68"/>
      <c r="F34" s="19"/>
      <c r="G34" s="59"/>
      <c r="H34" s="54"/>
      <c r="I34" s="11"/>
      <c r="J34" s="60"/>
      <c r="K34" s="60"/>
      <c r="L34" s="60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</row>
    <row r="35" spans="1:38" x14ac:dyDescent="0.25">
      <c r="B35" s="25"/>
      <c r="C35" s="3"/>
      <c r="D35" s="3"/>
      <c r="E35" s="26"/>
      <c r="G35" s="27"/>
      <c r="H35" s="3"/>
      <c r="I35" s="11"/>
      <c r="J35" s="3"/>
      <c r="K35" s="3"/>
      <c r="L35" s="3"/>
    </row>
    <row r="36" spans="1:38" x14ac:dyDescent="0.25">
      <c r="B36" s="25"/>
      <c r="C36" s="3"/>
      <c r="D36" s="3"/>
      <c r="E36" s="26"/>
      <c r="G36" s="27"/>
      <c r="H36" s="3"/>
      <c r="I36" s="11"/>
      <c r="J36" s="3"/>
      <c r="K36" s="3"/>
      <c r="L36" s="3"/>
    </row>
    <row r="37" spans="1:38" x14ac:dyDescent="0.25">
      <c r="H37" s="3"/>
      <c r="I37" s="11"/>
      <c r="J37" s="3"/>
      <c r="K37" s="3"/>
      <c r="L37" s="3"/>
    </row>
    <row r="38" spans="1:38" x14ac:dyDescent="0.25">
      <c r="H38" s="3"/>
      <c r="I38" s="11"/>
      <c r="J38" s="3"/>
      <c r="K38" s="3"/>
      <c r="L38" s="3"/>
    </row>
    <row r="39" spans="1:38" x14ac:dyDescent="0.25">
      <c r="H39" s="3"/>
      <c r="J39" s="8">
        <f>7500+1839</f>
        <v>9339</v>
      </c>
      <c r="K39" s="3"/>
      <c r="N39" s="8"/>
      <c r="O39" s="3"/>
    </row>
    <row r="40" spans="1:38" x14ac:dyDescent="0.25">
      <c r="H40" s="3"/>
      <c r="J40" s="3"/>
      <c r="K40" s="3"/>
    </row>
    <row r="41" spans="1:38" x14ac:dyDescent="0.25">
      <c r="F41" s="11"/>
      <c r="G41" s="11"/>
      <c r="H41" s="11"/>
      <c r="I41" s="11">
        <f>C33*0.95</f>
        <v>18554.924999999999</v>
      </c>
      <c r="J41" s="22">
        <f>C33*0.97</f>
        <v>18945.555</v>
      </c>
      <c r="K41" s="3"/>
      <c r="N41" s="12"/>
    </row>
    <row r="42" spans="1:38" x14ac:dyDescent="0.25">
      <c r="H42" s="3"/>
      <c r="I42" s="3"/>
      <c r="J42" s="8"/>
      <c r="K42" s="3"/>
      <c r="L42" s="3"/>
      <c r="N42" s="3"/>
    </row>
    <row r="43" spans="1:38" x14ac:dyDescent="0.25">
      <c r="A43" s="18"/>
      <c r="B43" s="28"/>
      <c r="C43" s="18"/>
      <c r="D43" s="18"/>
      <c r="E43" s="29">
        <f>C33*0.95</f>
        <v>18554.924999999999</v>
      </c>
      <c r="F43" s="11"/>
      <c r="G43" s="3"/>
      <c r="H43" s="3"/>
      <c r="I43" s="6"/>
      <c r="J43" s="3"/>
      <c r="K43" s="3"/>
      <c r="L43" s="3"/>
      <c r="N43" s="12"/>
    </row>
    <row r="44" spans="1:38" x14ac:dyDescent="0.25">
      <c r="A44" s="30"/>
      <c r="B44" s="30"/>
      <c r="C44" s="30"/>
      <c r="D44" s="30"/>
      <c r="E44" s="30"/>
      <c r="F44" s="11"/>
      <c r="G44" s="3"/>
      <c r="H44" s="3"/>
      <c r="I44" s="3"/>
      <c r="J44" s="8"/>
      <c r="K44" s="3"/>
      <c r="N44" s="12"/>
    </row>
    <row r="45" spans="1:38" x14ac:dyDescent="0.25">
      <c r="A45" s="18"/>
      <c r="B45" s="28"/>
      <c r="C45" s="18"/>
      <c r="D45" s="18"/>
      <c r="E45" s="31"/>
      <c r="F45" s="11"/>
      <c r="G45" s="3"/>
      <c r="H45" s="3"/>
      <c r="I45" s="6"/>
      <c r="M45" s="10"/>
    </row>
    <row r="46" spans="1:38" x14ac:dyDescent="0.25">
      <c r="A46" s="30"/>
      <c r="B46" s="32"/>
      <c r="C46" s="30"/>
      <c r="D46" s="30"/>
      <c r="E46" s="33"/>
      <c r="F46" s="11"/>
      <c r="G46" s="3"/>
      <c r="H46" s="3"/>
      <c r="J46" s="8"/>
    </row>
    <row r="47" spans="1:38" x14ac:dyDescent="0.25">
      <c r="A47" s="30"/>
      <c r="B47" s="32"/>
      <c r="C47" s="30"/>
      <c r="D47" s="30"/>
      <c r="E47" s="34"/>
      <c r="F47" s="11"/>
      <c r="G47" s="3"/>
      <c r="H47" s="3"/>
    </row>
    <row r="48" spans="1:38" x14ac:dyDescent="0.25">
      <c r="A48" s="18"/>
      <c r="B48" s="35"/>
      <c r="C48" s="35"/>
      <c r="D48" s="35"/>
      <c r="E48" s="18"/>
      <c r="F48" s="11"/>
      <c r="G48" s="27"/>
      <c r="H48" s="3"/>
    </row>
    <row r="49" spans="1:16" x14ac:dyDescent="0.25">
      <c r="A49" s="18"/>
      <c r="B49" s="35"/>
      <c r="C49" s="35"/>
      <c r="D49" s="35"/>
      <c r="E49" s="18"/>
      <c r="F49" s="11"/>
      <c r="G49" s="3"/>
      <c r="H49" s="3"/>
      <c r="L49" s="3"/>
      <c r="M49" s="9"/>
      <c r="N49" s="3"/>
      <c r="O49" s="3"/>
      <c r="P49" s="3"/>
    </row>
    <row r="50" spans="1:16" x14ac:dyDescent="0.25">
      <c r="A50" s="30"/>
      <c r="B50" s="30"/>
      <c r="C50" s="30"/>
      <c r="D50" s="30"/>
      <c r="E50" s="30"/>
      <c r="F50" s="11"/>
      <c r="G50" s="3"/>
      <c r="H50" s="3"/>
      <c r="M50" s="3"/>
      <c r="N50" s="3"/>
      <c r="O50" s="3"/>
      <c r="P50" s="3"/>
    </row>
    <row r="51" spans="1:16" x14ac:dyDescent="0.25">
      <c r="A51" s="18"/>
      <c r="B51" s="28"/>
      <c r="C51" s="18"/>
      <c r="D51" s="18"/>
      <c r="E51" s="31"/>
      <c r="F51" s="11"/>
      <c r="G51" s="27"/>
      <c r="H51" s="27"/>
      <c r="I51" s="7"/>
      <c r="J51" s="3"/>
      <c r="K51" s="3"/>
      <c r="L51" s="3"/>
      <c r="M51" s="3"/>
      <c r="N51" s="3"/>
      <c r="O51" s="3"/>
      <c r="P51" s="3"/>
    </row>
    <row r="52" spans="1:16" x14ac:dyDescent="0.25">
      <c r="A52" s="18"/>
      <c r="B52" s="28"/>
      <c r="C52" s="18"/>
      <c r="D52" s="18"/>
      <c r="E52" s="31"/>
      <c r="F52" s="11"/>
      <c r="G52" s="27"/>
      <c r="H52" s="27"/>
      <c r="I52" s="7"/>
      <c r="J52" s="3"/>
      <c r="K52" s="3"/>
      <c r="L52" s="3"/>
      <c r="M52" s="3"/>
      <c r="N52" s="3"/>
      <c r="O52" s="3"/>
      <c r="P52" s="3"/>
    </row>
    <row r="53" spans="1:16" x14ac:dyDescent="0.25">
      <c r="A53" s="18"/>
      <c r="B53" s="28"/>
      <c r="C53" s="18"/>
      <c r="D53" s="18"/>
      <c r="E53" s="31"/>
      <c r="F53" s="11"/>
      <c r="G53" s="3"/>
      <c r="H53" s="3"/>
      <c r="I53" s="3"/>
      <c r="J53" s="3"/>
      <c r="K53" s="3"/>
      <c r="L53" s="3"/>
      <c r="M53" s="5"/>
      <c r="N53" s="3"/>
      <c r="O53" s="3"/>
      <c r="P53" s="3"/>
    </row>
    <row r="54" spans="1:16" x14ac:dyDescent="0.25">
      <c r="A54" s="18"/>
      <c r="B54" s="28"/>
      <c r="C54" s="18"/>
      <c r="D54" s="18"/>
      <c r="E54" s="36"/>
      <c r="F54" s="11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 s="30"/>
      <c r="B55" s="30"/>
      <c r="C55" s="30"/>
      <c r="D55" s="30"/>
      <c r="E55" s="30"/>
      <c r="F55" s="11"/>
      <c r="G55" s="3"/>
      <c r="H55" s="3"/>
      <c r="I55" s="3"/>
      <c r="J55" s="8"/>
      <c r="K55" s="3"/>
      <c r="L55" s="3"/>
      <c r="M55" s="6"/>
      <c r="N55" s="3"/>
      <c r="O55" s="3"/>
      <c r="P55" s="3"/>
    </row>
    <row r="56" spans="1:16" x14ac:dyDescent="0.25">
      <c r="A56" s="18"/>
      <c r="B56" s="28"/>
      <c r="C56" s="18"/>
      <c r="D56" s="18"/>
      <c r="E56" s="31"/>
      <c r="F56" s="11"/>
      <c r="G56" s="3"/>
      <c r="H56" s="3"/>
      <c r="I56" s="3"/>
      <c r="J56" s="3"/>
      <c r="K56" s="3"/>
      <c r="L56" s="3"/>
      <c r="M56" s="6"/>
    </row>
    <row r="57" spans="1:16" x14ac:dyDescent="0.25">
      <c r="A57" s="18"/>
      <c r="B57" s="28"/>
      <c r="C57" s="18"/>
      <c r="D57" s="18"/>
      <c r="E57" s="37"/>
      <c r="F57" s="11"/>
      <c r="G57" s="3"/>
      <c r="H57" s="3"/>
      <c r="I57" s="3"/>
      <c r="J57" s="3"/>
      <c r="K57" s="3"/>
      <c r="L57" s="3"/>
      <c r="M57" s="6"/>
    </row>
    <row r="58" spans="1:16" x14ac:dyDescent="0.25">
      <c r="A58" s="18"/>
      <c r="B58" s="28"/>
      <c r="C58" s="18"/>
      <c r="D58" s="18"/>
      <c r="E58" s="31"/>
      <c r="F58" s="11"/>
      <c r="G58" s="3"/>
      <c r="H58" s="3"/>
      <c r="I58" s="3"/>
      <c r="J58" s="3"/>
      <c r="K58" s="3"/>
      <c r="L58" s="3"/>
    </row>
    <row r="59" spans="1:16" x14ac:dyDescent="0.25">
      <c r="A59" s="30"/>
      <c r="B59" s="30"/>
      <c r="C59" s="30"/>
      <c r="D59" s="30"/>
      <c r="E59" s="30"/>
      <c r="F59" s="38"/>
      <c r="G59" s="3"/>
      <c r="H59" s="3"/>
      <c r="I59" s="3"/>
      <c r="J59" s="3"/>
      <c r="K59" s="3"/>
      <c r="L59" s="3"/>
      <c r="M59" s="3"/>
    </row>
    <row r="60" spans="1:16" x14ac:dyDescent="0.25">
      <c r="A60" s="18"/>
      <c r="B60" s="39"/>
      <c r="C60" s="18"/>
      <c r="D60" s="18"/>
      <c r="E60" s="31"/>
      <c r="F60" s="11"/>
      <c r="G60" s="3"/>
      <c r="H60" s="3"/>
      <c r="I60" s="13"/>
      <c r="J60" s="3"/>
      <c r="K60" s="3"/>
      <c r="L60" s="3"/>
      <c r="M60" s="3"/>
    </row>
    <row r="61" spans="1:16" x14ac:dyDescent="0.25">
      <c r="A61" s="18"/>
      <c r="B61" s="28"/>
      <c r="C61" s="18"/>
      <c r="D61" s="18"/>
      <c r="E61" s="31"/>
      <c r="F61" s="11"/>
      <c r="G61" s="3"/>
      <c r="H61" s="3"/>
      <c r="I61" s="13"/>
      <c r="J61" s="3"/>
      <c r="K61" s="3"/>
      <c r="L61" s="3"/>
      <c r="M61" s="3"/>
    </row>
    <row r="62" spans="1:16" x14ac:dyDescent="0.25">
      <c r="A62" s="30"/>
      <c r="B62" s="32"/>
      <c r="C62" s="30"/>
      <c r="D62" s="30"/>
      <c r="E62" s="33"/>
      <c r="F62" s="11"/>
      <c r="G62" s="27"/>
      <c r="H62" s="3"/>
      <c r="I62" s="13"/>
      <c r="J62" s="3"/>
      <c r="K62" s="3"/>
      <c r="L62" s="3"/>
      <c r="M62" s="3"/>
    </row>
    <row r="63" spans="1:16" x14ac:dyDescent="0.25">
      <c r="A63" s="30"/>
      <c r="B63" s="32"/>
      <c r="C63" s="30"/>
      <c r="D63" s="30"/>
      <c r="E63" s="40"/>
      <c r="F63" s="11"/>
      <c r="G63" s="22"/>
      <c r="H63" s="3"/>
      <c r="I63" s="13"/>
      <c r="J63" s="3"/>
      <c r="K63" s="3"/>
      <c r="L63" s="3"/>
    </row>
    <row r="64" spans="1:16" x14ac:dyDescent="0.25">
      <c r="A64" s="18"/>
      <c r="B64" s="35"/>
      <c r="C64" s="35"/>
      <c r="D64" s="35"/>
      <c r="E64" s="18"/>
      <c r="F64" s="11"/>
      <c r="G64" s="22"/>
      <c r="H64" s="41"/>
      <c r="I64" s="13"/>
      <c r="J64" s="3"/>
      <c r="K64" s="3"/>
      <c r="L64" s="3"/>
    </row>
    <row r="65" spans="1:16" x14ac:dyDescent="0.25">
      <c r="A65" s="79"/>
      <c r="B65" s="79"/>
      <c r="C65" s="79"/>
      <c r="D65" s="79"/>
      <c r="E65" s="79"/>
      <c r="F65" s="11"/>
      <c r="G65" s="27"/>
      <c r="H65" s="42"/>
      <c r="I65" s="13"/>
      <c r="J65" s="3"/>
      <c r="K65" s="3"/>
      <c r="L65" s="3"/>
    </row>
    <row r="66" spans="1:16" x14ac:dyDescent="0.25">
      <c r="A66" s="80"/>
      <c r="B66" s="80"/>
      <c r="C66" s="80"/>
      <c r="D66" s="80"/>
      <c r="E66" s="80"/>
      <c r="F66" s="11"/>
      <c r="G66" s="3"/>
      <c r="H66" s="22"/>
      <c r="I66" s="13"/>
      <c r="J66" s="3"/>
      <c r="L66" s="3"/>
    </row>
    <row r="67" spans="1:16" x14ac:dyDescent="0.25">
      <c r="A67" s="78"/>
      <c r="B67" s="78"/>
      <c r="C67" s="78"/>
      <c r="D67" s="78"/>
      <c r="E67" s="78"/>
      <c r="F67" s="11"/>
      <c r="G67" s="3"/>
      <c r="H67" s="3"/>
      <c r="L67" s="3"/>
    </row>
    <row r="68" spans="1:16" ht="15.75" x14ac:dyDescent="0.25">
      <c r="A68" s="18"/>
      <c r="B68" s="35"/>
      <c r="C68" s="35"/>
      <c r="D68" s="35"/>
      <c r="E68" s="18"/>
      <c r="F68" s="11"/>
      <c r="G68" s="3"/>
      <c r="H68" s="43"/>
      <c r="I68" s="14"/>
    </row>
    <row r="69" spans="1:16" x14ac:dyDescent="0.25">
      <c r="A69" s="79"/>
      <c r="B69" s="79"/>
      <c r="C69" s="79"/>
      <c r="D69" s="79"/>
      <c r="E69" s="79"/>
      <c r="F69" s="11"/>
      <c r="G69" s="3"/>
      <c r="H69" s="3"/>
    </row>
    <row r="70" spans="1:16" x14ac:dyDescent="0.25">
      <c r="A70" s="78"/>
      <c r="B70" s="78"/>
      <c r="C70" s="78"/>
      <c r="D70" s="78"/>
      <c r="E70" s="78"/>
      <c r="F70" s="11"/>
      <c r="G70" s="3"/>
      <c r="H70" s="3"/>
    </row>
    <row r="71" spans="1:16" x14ac:dyDescent="0.25">
      <c r="A71" s="76"/>
      <c r="B71" s="76"/>
      <c r="C71" s="76"/>
      <c r="D71" s="76"/>
      <c r="E71" s="76"/>
      <c r="F71" s="11"/>
      <c r="G71" s="3"/>
      <c r="H71" s="3"/>
    </row>
    <row r="72" spans="1:16" x14ac:dyDescent="0.25">
      <c r="A72" s="76"/>
      <c r="B72" s="77"/>
      <c r="C72" s="77"/>
      <c r="D72" s="77"/>
      <c r="E72" s="77"/>
      <c r="F72" s="11"/>
      <c r="G72" s="3"/>
      <c r="H72" s="3"/>
    </row>
    <row r="73" spans="1:16" x14ac:dyDescent="0.25">
      <c r="A73" s="44"/>
      <c r="B73" s="23"/>
      <c r="C73" s="23"/>
      <c r="D73" s="23"/>
      <c r="E73" s="23"/>
      <c r="F73" s="11"/>
      <c r="G73" s="22"/>
      <c r="H73" s="3"/>
      <c r="J73" s="15"/>
      <c r="K73" s="15"/>
    </row>
    <row r="74" spans="1:16" x14ac:dyDescent="0.25">
      <c r="A74" s="75"/>
      <c r="B74" s="75"/>
      <c r="C74" s="75"/>
      <c r="D74" s="75"/>
      <c r="E74" s="75"/>
      <c r="F74" s="11"/>
      <c r="G74" s="3"/>
      <c r="H74" s="3"/>
    </row>
    <row r="75" spans="1:16" x14ac:dyDescent="0.25">
      <c r="A75" s="18"/>
      <c r="B75" s="35"/>
      <c r="C75" s="35"/>
      <c r="D75" s="35"/>
      <c r="E75" s="18"/>
      <c r="F75" s="11"/>
      <c r="G75" s="3"/>
      <c r="H75" s="3"/>
    </row>
    <row r="76" spans="1:16" x14ac:dyDescent="0.25">
      <c r="A76" s="18"/>
      <c r="B76" s="35"/>
      <c r="C76" s="35"/>
      <c r="D76" s="35"/>
      <c r="E76" s="18"/>
      <c r="F76" s="11"/>
      <c r="G76" s="22"/>
      <c r="H76" s="3"/>
    </row>
    <row r="77" spans="1:16" x14ac:dyDescent="0.25">
      <c r="A77" s="18"/>
      <c r="B77" s="35"/>
      <c r="C77" s="35"/>
      <c r="D77" s="35"/>
      <c r="E77" s="18"/>
      <c r="F77" s="11"/>
      <c r="G77" s="3"/>
      <c r="H77" s="3"/>
      <c r="P77" s="16"/>
    </row>
    <row r="78" spans="1:16" x14ac:dyDescent="0.25">
      <c r="A78" s="18"/>
      <c r="B78" s="35"/>
      <c r="C78" s="35"/>
      <c r="D78" s="35"/>
      <c r="E78" s="18"/>
      <c r="F78" s="11"/>
      <c r="G78" s="3"/>
      <c r="H78" s="3"/>
    </row>
    <row r="79" spans="1:16" x14ac:dyDescent="0.25">
      <c r="A79" s="18"/>
      <c r="B79" s="35"/>
      <c r="C79" s="35"/>
      <c r="D79" s="35"/>
      <c r="E79" s="18"/>
      <c r="F79" s="11"/>
      <c r="G79" s="3"/>
      <c r="H79" s="3"/>
    </row>
    <row r="80" spans="1:16" x14ac:dyDescent="0.25">
      <c r="A80" s="18"/>
      <c r="B80" s="35"/>
      <c r="C80" s="35"/>
      <c r="D80" s="35"/>
      <c r="E80" s="18"/>
      <c r="F80" s="11"/>
      <c r="G80" s="3"/>
      <c r="H80" s="3"/>
    </row>
    <row r="81" spans="1:12" x14ac:dyDescent="0.25">
      <c r="A81" s="18"/>
      <c r="B81" s="35"/>
      <c r="C81" s="35"/>
      <c r="D81" s="35"/>
      <c r="E81" s="18"/>
      <c r="F81" s="11"/>
      <c r="G81" s="3"/>
      <c r="H81" s="3"/>
    </row>
    <row r="82" spans="1:12" x14ac:dyDescent="0.25">
      <c r="A82" s="18"/>
      <c r="B82" s="35"/>
      <c r="C82" s="35"/>
      <c r="D82" s="35"/>
      <c r="E82" s="18"/>
    </row>
    <row r="83" spans="1:12" x14ac:dyDescent="0.25">
      <c r="A83" s="18"/>
      <c r="B83" s="35"/>
      <c r="C83" s="35"/>
      <c r="D83" s="35"/>
      <c r="E83" s="18"/>
    </row>
    <row r="84" spans="1:12" x14ac:dyDescent="0.25">
      <c r="A84" s="18"/>
      <c r="B84" s="35"/>
      <c r="C84" s="35"/>
      <c r="D84" s="35"/>
      <c r="E84" s="18"/>
    </row>
    <row r="85" spans="1:12" x14ac:dyDescent="0.25">
      <c r="A85" s="18"/>
      <c r="B85" s="35"/>
      <c r="C85" s="35"/>
      <c r="D85" s="35"/>
      <c r="E85" s="18"/>
    </row>
    <row r="86" spans="1:12" x14ac:dyDescent="0.25">
      <c r="A86" s="18"/>
      <c r="B86" s="35"/>
      <c r="C86" s="35"/>
      <c r="D86" s="35"/>
      <c r="E86" s="18"/>
    </row>
    <row r="87" spans="1:12" x14ac:dyDescent="0.25">
      <c r="A87" s="18"/>
      <c r="B87" s="35"/>
      <c r="C87" s="35"/>
      <c r="D87" s="35"/>
      <c r="E87" s="18"/>
    </row>
    <row r="88" spans="1:12" x14ac:dyDescent="0.25">
      <c r="A88" s="18"/>
      <c r="B88" s="35"/>
      <c r="C88" s="35"/>
      <c r="D88" s="35"/>
      <c r="E88" s="18"/>
    </row>
    <row r="89" spans="1:12" x14ac:dyDescent="0.25">
      <c r="A89" s="18"/>
      <c r="B89" s="35"/>
      <c r="C89" s="35"/>
      <c r="D89" s="35"/>
      <c r="E89" s="18"/>
    </row>
    <row r="90" spans="1:12" x14ac:dyDescent="0.25">
      <c r="A90" s="18"/>
      <c r="B90" s="35"/>
      <c r="C90" s="35"/>
      <c r="D90" s="35"/>
      <c r="E90" s="18"/>
      <c r="L90" s="17"/>
    </row>
    <row r="91" spans="1:12" x14ac:dyDescent="0.25">
      <c r="A91" s="18"/>
      <c r="B91" s="35"/>
      <c r="C91" s="35"/>
      <c r="D91" s="35"/>
      <c r="E91" s="18"/>
    </row>
    <row r="92" spans="1:12" x14ac:dyDescent="0.25">
      <c r="A92" s="18"/>
      <c r="B92" s="35"/>
      <c r="C92" s="35"/>
      <c r="D92" s="35"/>
      <c r="E92" s="18"/>
    </row>
    <row r="93" spans="1:12" x14ac:dyDescent="0.25">
      <c r="A93" s="18"/>
      <c r="B93" s="35"/>
      <c r="C93" s="35"/>
      <c r="D93" s="35"/>
      <c r="E93" s="18"/>
    </row>
    <row r="94" spans="1:12" x14ac:dyDescent="0.25">
      <c r="A94" s="18"/>
      <c r="B94" s="35"/>
      <c r="C94" s="35"/>
      <c r="D94" s="35"/>
      <c r="E94" s="18"/>
    </row>
    <row r="95" spans="1:12" x14ac:dyDescent="0.25">
      <c r="A95" s="18"/>
      <c r="B95" s="35"/>
      <c r="C95" s="35"/>
      <c r="D95" s="35"/>
      <c r="E95" s="18"/>
    </row>
    <row r="96" spans="1:12" x14ac:dyDescent="0.25">
      <c r="A96" s="18"/>
      <c r="B96" s="35"/>
      <c r="C96" s="35"/>
      <c r="D96" s="35"/>
      <c r="E96" s="18"/>
    </row>
    <row r="97" spans="1:5" x14ac:dyDescent="0.25">
      <c r="A97" s="18"/>
      <c r="B97" s="35"/>
      <c r="C97" s="35"/>
      <c r="D97" s="35"/>
      <c r="E97" s="18"/>
    </row>
    <row r="98" spans="1:5" x14ac:dyDescent="0.25">
      <c r="A98" s="18"/>
      <c r="B98" s="35"/>
      <c r="C98" s="35"/>
      <c r="D98" s="35"/>
      <c r="E98" s="18"/>
    </row>
    <row r="99" spans="1:5" x14ac:dyDescent="0.25">
      <c r="A99" s="18"/>
      <c r="B99" s="35"/>
      <c r="C99" s="35"/>
      <c r="D99" s="35"/>
      <c r="E99" s="18"/>
    </row>
    <row r="100" spans="1:5" x14ac:dyDescent="0.25">
      <c r="A100" s="18"/>
      <c r="B100" s="35"/>
      <c r="C100" s="35"/>
      <c r="D100" s="35"/>
      <c r="E100" s="18"/>
    </row>
    <row r="101" spans="1:5" x14ac:dyDescent="0.25">
      <c r="A101" s="18"/>
      <c r="B101" s="35"/>
      <c r="C101" s="35"/>
      <c r="D101" s="35"/>
      <c r="E101" s="18"/>
    </row>
    <row r="102" spans="1:5" x14ac:dyDescent="0.25">
      <c r="A102" s="18"/>
      <c r="B102" s="35"/>
      <c r="C102" s="35"/>
      <c r="D102" s="35"/>
      <c r="E102" s="18"/>
    </row>
    <row r="103" spans="1:5" x14ac:dyDescent="0.25">
      <c r="A103" s="18"/>
      <c r="B103" s="35"/>
      <c r="C103" s="35"/>
      <c r="D103" s="35"/>
      <c r="E103" s="18"/>
    </row>
    <row r="104" spans="1:5" x14ac:dyDescent="0.25">
      <c r="A104" s="18"/>
      <c r="B104" s="35"/>
      <c r="C104" s="35"/>
      <c r="D104" s="35"/>
      <c r="E104" s="18"/>
    </row>
    <row r="105" spans="1:5" x14ac:dyDescent="0.25">
      <c r="A105" s="18"/>
      <c r="B105" s="35"/>
      <c r="C105" s="35"/>
      <c r="D105" s="35"/>
      <c r="E105" s="18"/>
    </row>
    <row r="106" spans="1:5" x14ac:dyDescent="0.25">
      <c r="A106" s="18"/>
      <c r="B106" s="35"/>
      <c r="C106" s="35"/>
      <c r="D106" s="35"/>
      <c r="E106" s="18"/>
    </row>
  </sheetData>
  <mergeCells count="17">
    <mergeCell ref="A74:E74"/>
    <mergeCell ref="A71:E71"/>
    <mergeCell ref="A72:E72"/>
    <mergeCell ref="A67:E67"/>
    <mergeCell ref="A65:E65"/>
    <mergeCell ref="A66:E66"/>
    <mergeCell ref="A69:E69"/>
    <mergeCell ref="A70:E70"/>
    <mergeCell ref="A33:B33"/>
    <mergeCell ref="C33:E33"/>
    <mergeCell ref="A34:B34"/>
    <mergeCell ref="C34:E34"/>
    <mergeCell ref="B11:E11"/>
    <mergeCell ref="B16:E16"/>
    <mergeCell ref="B26:E26"/>
    <mergeCell ref="B31:E31"/>
    <mergeCell ref="B29:E29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556C-AE43-4131-BCA6-5736C7DF09F8}">
  <dimension ref="C3:J72"/>
  <sheetViews>
    <sheetView tabSelected="1" workbookViewId="0">
      <selection activeCell="J5" sqref="J5"/>
    </sheetView>
  </sheetViews>
  <sheetFormatPr defaultRowHeight="15" x14ac:dyDescent="0.25"/>
  <cols>
    <col min="3" max="3" width="42.85546875" bestFit="1" customWidth="1"/>
    <col min="4" max="4" width="19.140625" bestFit="1" customWidth="1"/>
    <col min="5" max="5" width="13.28515625" bestFit="1" customWidth="1"/>
    <col min="9" max="9" width="15" customWidth="1"/>
    <col min="10" max="10" width="14.140625" customWidth="1"/>
    <col min="14" max="14" width="21.5703125" customWidth="1"/>
  </cols>
  <sheetData>
    <row r="3" spans="3:10" x14ac:dyDescent="0.25">
      <c r="C3" s="21" t="s">
        <v>16</v>
      </c>
      <c r="D3" s="2"/>
      <c r="E3" s="1" t="s">
        <v>44</v>
      </c>
    </row>
    <row r="4" spans="3:10" x14ac:dyDescent="0.25">
      <c r="C4" s="2" t="s">
        <v>35</v>
      </c>
      <c r="D4" s="2">
        <v>30</v>
      </c>
      <c r="E4" s="1">
        <v>60</v>
      </c>
      <c r="I4" s="81"/>
      <c r="J4" s="81"/>
    </row>
    <row r="5" spans="3:10" x14ac:dyDescent="0.25">
      <c r="C5" s="2" t="s">
        <v>49</v>
      </c>
      <c r="D5" s="2">
        <v>44</v>
      </c>
      <c r="E5" s="1" t="s">
        <v>50</v>
      </c>
      <c r="I5" s="19"/>
    </row>
    <row r="6" spans="3:10" x14ac:dyDescent="0.25">
      <c r="C6" s="2" t="s">
        <v>33</v>
      </c>
      <c r="D6" s="2">
        <v>25</v>
      </c>
      <c r="E6" s="1">
        <f>D6*43</f>
        <v>1075</v>
      </c>
      <c r="I6" s="19"/>
    </row>
    <row r="7" spans="3:10" x14ac:dyDescent="0.25">
      <c r="C7" s="2" t="s">
        <v>40</v>
      </c>
      <c r="D7" s="2">
        <v>300</v>
      </c>
      <c r="E7" s="1">
        <f>30*3</f>
        <v>90</v>
      </c>
      <c r="I7" s="19"/>
      <c r="J7" s="24"/>
    </row>
    <row r="8" spans="3:10" x14ac:dyDescent="0.25">
      <c r="C8" s="2" t="s">
        <v>29</v>
      </c>
      <c r="D8" s="2">
        <v>100</v>
      </c>
      <c r="E8" s="1">
        <v>100</v>
      </c>
      <c r="I8" s="19"/>
      <c r="J8" s="24"/>
    </row>
    <row r="9" spans="3:10" x14ac:dyDescent="0.25">
      <c r="C9" s="2" t="s">
        <v>30</v>
      </c>
      <c r="D9" s="2">
        <v>4</v>
      </c>
      <c r="E9" s="1">
        <f>D9*34</f>
        <v>136</v>
      </c>
      <c r="I9" s="19"/>
      <c r="J9" s="24"/>
    </row>
    <row r="10" spans="3:10" x14ac:dyDescent="0.25">
      <c r="C10" s="2" t="s">
        <v>51</v>
      </c>
      <c r="D10" s="2" t="s">
        <v>52</v>
      </c>
      <c r="E10" s="1"/>
      <c r="I10" s="19"/>
      <c r="J10" s="24"/>
    </row>
    <row r="11" spans="3:10" x14ac:dyDescent="0.25">
      <c r="C11" s="2" t="s">
        <v>53</v>
      </c>
      <c r="D11" s="2">
        <v>6</v>
      </c>
      <c r="E11" s="1">
        <f>D11*30</f>
        <v>180</v>
      </c>
      <c r="I11" s="19"/>
      <c r="J11" s="24"/>
    </row>
    <row r="12" spans="3:10" x14ac:dyDescent="0.25">
      <c r="C12" s="2" t="s">
        <v>54</v>
      </c>
      <c r="D12" s="2">
        <v>6</v>
      </c>
      <c r="E12" s="1">
        <f>D12*36</f>
        <v>216</v>
      </c>
      <c r="I12" s="19"/>
      <c r="J12" s="24"/>
    </row>
    <row r="13" spans="3:10" x14ac:dyDescent="0.25">
      <c r="C13" s="2" t="s">
        <v>55</v>
      </c>
      <c r="D13" s="2" t="s">
        <v>52</v>
      </c>
      <c r="E13" s="1">
        <v>59</v>
      </c>
      <c r="I13" s="19"/>
      <c r="J13" s="24"/>
    </row>
    <row r="14" spans="3:10" x14ac:dyDescent="0.25">
      <c r="C14" s="2" t="s">
        <v>36</v>
      </c>
      <c r="D14" s="2">
        <v>1</v>
      </c>
      <c r="E14" s="1">
        <v>46</v>
      </c>
      <c r="I14" s="19"/>
      <c r="J14" s="24"/>
    </row>
    <row r="15" spans="3:10" x14ac:dyDescent="0.25">
      <c r="C15" s="2" t="s">
        <v>37</v>
      </c>
      <c r="D15" s="2">
        <v>1</v>
      </c>
      <c r="E15" s="1">
        <f>D15*35</f>
        <v>35</v>
      </c>
      <c r="I15" s="19"/>
      <c r="J15" s="24"/>
    </row>
    <row r="16" spans="3:10" x14ac:dyDescent="0.25">
      <c r="C16" s="2" t="s">
        <v>31</v>
      </c>
      <c r="D16" s="2" t="s">
        <v>56</v>
      </c>
      <c r="E16" s="1">
        <v>619</v>
      </c>
      <c r="I16" s="19"/>
      <c r="J16" s="24"/>
    </row>
    <row r="17" spans="3:9" x14ac:dyDescent="0.25">
      <c r="C17" s="20" t="s">
        <v>32</v>
      </c>
      <c r="D17" s="2" t="s">
        <v>57</v>
      </c>
      <c r="E17" s="1">
        <v>619</v>
      </c>
      <c r="I17" s="19"/>
    </row>
    <row r="18" spans="3:9" x14ac:dyDescent="0.25">
      <c r="C18" s="2" t="s">
        <v>58</v>
      </c>
      <c r="D18" s="2">
        <v>2</v>
      </c>
      <c r="E18" s="1">
        <f>D18*65</f>
        <v>130</v>
      </c>
      <c r="I18" s="19"/>
    </row>
    <row r="19" spans="3:9" x14ac:dyDescent="0.25">
      <c r="C19" s="2" t="s">
        <v>59</v>
      </c>
      <c r="D19" s="2">
        <v>2</v>
      </c>
      <c r="E19" s="1">
        <f>D19*90</f>
        <v>180</v>
      </c>
    </row>
    <row r="20" spans="3:9" x14ac:dyDescent="0.25">
      <c r="C20" s="20" t="s">
        <v>34</v>
      </c>
      <c r="D20" s="2">
        <v>1</v>
      </c>
      <c r="E20" s="1">
        <v>23</v>
      </c>
    </row>
    <row r="21" spans="3:9" x14ac:dyDescent="0.25">
      <c r="C21" s="2" t="s">
        <v>17</v>
      </c>
      <c r="D21" s="2">
        <v>1</v>
      </c>
      <c r="E21" s="1">
        <v>10</v>
      </c>
    </row>
    <row r="22" spans="3:9" x14ac:dyDescent="0.25">
      <c r="C22" s="2" t="s">
        <v>18</v>
      </c>
      <c r="D22" s="2">
        <v>1</v>
      </c>
      <c r="E22" s="1">
        <v>10</v>
      </c>
    </row>
    <row r="23" spans="3:9" x14ac:dyDescent="0.25">
      <c r="C23" s="2" t="s">
        <v>19</v>
      </c>
      <c r="D23" s="2">
        <v>6</v>
      </c>
      <c r="E23" s="1">
        <f>D23*12</f>
        <v>72</v>
      </c>
    </row>
    <row r="24" spans="3:9" x14ac:dyDescent="0.25">
      <c r="C24" s="2" t="s">
        <v>20</v>
      </c>
      <c r="D24" s="2">
        <v>10</v>
      </c>
      <c r="E24" s="1">
        <f>D24*1.6</f>
        <v>16</v>
      </c>
    </row>
    <row r="25" spans="3:9" x14ac:dyDescent="0.25">
      <c r="C25" s="2" t="s">
        <v>21</v>
      </c>
      <c r="D25" s="2">
        <v>10</v>
      </c>
      <c r="E25" s="1">
        <f>D25*1.6</f>
        <v>16</v>
      </c>
    </row>
    <row r="26" spans="3:9" x14ac:dyDescent="0.25">
      <c r="C26" s="2"/>
      <c r="D26" s="2"/>
      <c r="E26" s="1"/>
    </row>
    <row r="27" spans="3:9" x14ac:dyDescent="0.25">
      <c r="C27" s="2"/>
      <c r="D27" s="2"/>
      <c r="E27" s="1"/>
    </row>
    <row r="28" spans="3:9" x14ac:dyDescent="0.25">
      <c r="C28" s="2" t="s">
        <v>22</v>
      </c>
      <c r="D28" s="2">
        <v>1</v>
      </c>
      <c r="E28" s="1">
        <v>10</v>
      </c>
    </row>
    <row r="29" spans="3:9" x14ac:dyDescent="0.25">
      <c r="C29" s="2" t="s">
        <v>23</v>
      </c>
      <c r="D29" s="2">
        <v>2</v>
      </c>
      <c r="E29" s="1">
        <v>15</v>
      </c>
    </row>
    <row r="30" spans="3:9" x14ac:dyDescent="0.25">
      <c r="C30" s="2"/>
      <c r="D30" s="2"/>
      <c r="E30" s="1"/>
    </row>
    <row r="31" spans="3:9" x14ac:dyDescent="0.25">
      <c r="C31" s="2" t="s">
        <v>24</v>
      </c>
      <c r="D31" s="2">
        <v>2</v>
      </c>
      <c r="E31" s="1">
        <f>D31*290</f>
        <v>580</v>
      </c>
    </row>
    <row r="32" spans="3:9" x14ac:dyDescent="0.25">
      <c r="C32" s="2" t="s">
        <v>25</v>
      </c>
      <c r="D32" s="2">
        <v>1</v>
      </c>
      <c r="E32" s="1">
        <f>D32*115</f>
        <v>115</v>
      </c>
    </row>
    <row r="33" spans="3:5" x14ac:dyDescent="0.25">
      <c r="C33" s="2"/>
      <c r="D33" s="2"/>
      <c r="E33" s="1"/>
    </row>
    <row r="34" spans="3:5" x14ac:dyDescent="0.25">
      <c r="C34" s="2" t="s">
        <v>26</v>
      </c>
      <c r="D34" s="2">
        <v>1</v>
      </c>
      <c r="E34" s="1">
        <v>10</v>
      </c>
    </row>
    <row r="35" spans="3:5" x14ac:dyDescent="0.25">
      <c r="C35" s="2" t="s">
        <v>27</v>
      </c>
      <c r="D35" s="2">
        <v>1</v>
      </c>
      <c r="E35" s="1">
        <v>10</v>
      </c>
    </row>
    <row r="36" spans="3:5" x14ac:dyDescent="0.25">
      <c r="C36" s="2" t="s">
        <v>28</v>
      </c>
      <c r="D36" s="2">
        <v>8</v>
      </c>
      <c r="E36" s="1">
        <v>20</v>
      </c>
    </row>
    <row r="37" spans="3:5" x14ac:dyDescent="0.25">
      <c r="C37" s="2"/>
      <c r="D37" s="2"/>
      <c r="E37" s="1"/>
    </row>
    <row r="38" spans="3:5" x14ac:dyDescent="0.25">
      <c r="C38" s="2" t="s">
        <v>42</v>
      </c>
      <c r="D38" s="2" t="s">
        <v>41</v>
      </c>
      <c r="E38" s="1">
        <v>160</v>
      </c>
    </row>
    <row r="39" spans="3:5" x14ac:dyDescent="0.25">
      <c r="C39" s="2" t="s">
        <v>43</v>
      </c>
      <c r="D39" s="2" t="s">
        <v>41</v>
      </c>
      <c r="E39" s="1">
        <v>160</v>
      </c>
    </row>
    <row r="40" spans="3:5" x14ac:dyDescent="0.25">
      <c r="C40" s="2" t="s">
        <v>60</v>
      </c>
      <c r="D40" s="2" t="s">
        <v>61</v>
      </c>
      <c r="E40" s="1">
        <v>150</v>
      </c>
    </row>
    <row r="41" spans="3:5" x14ac:dyDescent="0.25">
      <c r="C41" s="2" t="s">
        <v>62</v>
      </c>
      <c r="D41" s="2" t="s">
        <v>61</v>
      </c>
      <c r="E41" s="1">
        <v>150</v>
      </c>
    </row>
    <row r="42" spans="3:5" x14ac:dyDescent="0.25">
      <c r="C42" s="2" t="s">
        <v>63</v>
      </c>
      <c r="D42" s="2" t="s">
        <v>61</v>
      </c>
      <c r="E42" s="1">
        <v>120</v>
      </c>
    </row>
    <row r="43" spans="3:5" x14ac:dyDescent="0.25">
      <c r="C43" s="2" t="s">
        <v>64</v>
      </c>
      <c r="D43" s="2">
        <v>4</v>
      </c>
      <c r="E43" s="1">
        <v>30</v>
      </c>
    </row>
    <row r="44" spans="3:5" x14ac:dyDescent="0.25">
      <c r="C44" s="2" t="s">
        <v>65</v>
      </c>
      <c r="D44" s="2">
        <v>3</v>
      </c>
      <c r="E44" s="1">
        <v>90</v>
      </c>
    </row>
    <row r="45" spans="3:5" x14ac:dyDescent="0.25">
      <c r="C45" s="2" t="s">
        <v>66</v>
      </c>
      <c r="D45" s="2">
        <v>3</v>
      </c>
      <c r="E45" s="1">
        <v>90</v>
      </c>
    </row>
    <row r="46" spans="3:5" x14ac:dyDescent="0.25">
      <c r="C46" s="2" t="s">
        <v>67</v>
      </c>
      <c r="D46" s="2"/>
      <c r="E46" s="1" t="s">
        <v>50</v>
      </c>
    </row>
    <row r="47" spans="3:5" x14ac:dyDescent="0.25">
      <c r="C47" s="2" t="s">
        <v>68</v>
      </c>
      <c r="D47" s="2"/>
      <c r="E47" s="1" t="s">
        <v>50</v>
      </c>
    </row>
    <row r="48" spans="3:5" x14ac:dyDescent="0.25">
      <c r="C48" s="2"/>
      <c r="D48" s="2"/>
      <c r="E48" s="1"/>
    </row>
    <row r="49" spans="3:5" x14ac:dyDescent="0.25">
      <c r="C49" s="2" t="s">
        <v>69</v>
      </c>
      <c r="D49" s="2">
        <v>20</v>
      </c>
      <c r="E49" s="1">
        <f>D49*36</f>
        <v>720</v>
      </c>
    </row>
    <row r="50" spans="3:5" x14ac:dyDescent="0.25">
      <c r="C50" s="2" t="s">
        <v>70</v>
      </c>
      <c r="D50" s="2">
        <f>21/3+6</f>
        <v>13</v>
      </c>
      <c r="E50" s="1">
        <f>D50*15</f>
        <v>195</v>
      </c>
    </row>
    <row r="51" spans="3:5" x14ac:dyDescent="0.25">
      <c r="C51" s="2" t="s">
        <v>71</v>
      </c>
      <c r="D51" s="2">
        <v>19</v>
      </c>
      <c r="E51" s="1">
        <f>D51*12</f>
        <v>228</v>
      </c>
    </row>
    <row r="52" spans="3:5" x14ac:dyDescent="0.25">
      <c r="C52" s="2" t="s">
        <v>72</v>
      </c>
      <c r="D52" s="2">
        <v>12</v>
      </c>
      <c r="E52" s="1">
        <f>D52*18</f>
        <v>216</v>
      </c>
    </row>
    <row r="53" spans="3:5" x14ac:dyDescent="0.25">
      <c r="C53" s="2" t="s">
        <v>73</v>
      </c>
      <c r="D53" s="2">
        <v>6</v>
      </c>
      <c r="E53" s="1">
        <f>D53*35</f>
        <v>210</v>
      </c>
    </row>
    <row r="54" spans="3:5" x14ac:dyDescent="0.25">
      <c r="C54" s="2" t="s">
        <v>74</v>
      </c>
      <c r="D54" s="2" t="s">
        <v>75</v>
      </c>
      <c r="E54" s="1">
        <f>150</f>
        <v>150</v>
      </c>
    </row>
    <row r="55" spans="3:5" x14ac:dyDescent="0.25">
      <c r="C55" s="2" t="s">
        <v>76</v>
      </c>
      <c r="D55" s="2">
        <v>200</v>
      </c>
      <c r="E55" s="1">
        <v>30</v>
      </c>
    </row>
    <row r="56" spans="3:5" x14ac:dyDescent="0.25">
      <c r="C56" s="2" t="s">
        <v>77</v>
      </c>
      <c r="D56" s="2">
        <v>200</v>
      </c>
      <c r="E56" s="1">
        <v>35</v>
      </c>
    </row>
    <row r="57" spans="3:5" x14ac:dyDescent="0.25">
      <c r="C57" s="2" t="s">
        <v>78</v>
      </c>
      <c r="D57" s="2">
        <v>1</v>
      </c>
      <c r="E57" s="1">
        <v>40</v>
      </c>
    </row>
    <row r="58" spans="3:5" x14ac:dyDescent="0.25">
      <c r="C58" s="2"/>
      <c r="D58" s="2"/>
      <c r="E58" s="1"/>
    </row>
    <row r="59" spans="3:5" x14ac:dyDescent="0.25">
      <c r="C59" s="2" t="s">
        <v>79</v>
      </c>
      <c r="D59" s="2"/>
      <c r="E59" s="1">
        <v>1200</v>
      </c>
    </row>
    <row r="60" spans="3:5" x14ac:dyDescent="0.25">
      <c r="C60" s="2" t="s">
        <v>80</v>
      </c>
      <c r="D60" s="2"/>
      <c r="E60" s="1">
        <v>30</v>
      </c>
    </row>
    <row r="61" spans="3:5" x14ac:dyDescent="0.25">
      <c r="C61" s="2"/>
      <c r="D61" s="2"/>
      <c r="E61" s="1"/>
    </row>
    <row r="62" spans="3:5" x14ac:dyDescent="0.25">
      <c r="C62" s="2"/>
      <c r="D62" s="2"/>
      <c r="E62" s="1"/>
    </row>
    <row r="63" spans="3:5" x14ac:dyDescent="0.25">
      <c r="C63" s="2" t="s">
        <v>81</v>
      </c>
      <c r="D63" s="2" t="s">
        <v>82</v>
      </c>
      <c r="E63" s="1" t="s">
        <v>82</v>
      </c>
    </row>
    <row r="64" spans="3:5" x14ac:dyDescent="0.25">
      <c r="C64" s="2" t="s">
        <v>83</v>
      </c>
      <c r="D64" s="2">
        <v>1</v>
      </c>
      <c r="E64" s="1">
        <v>35</v>
      </c>
    </row>
    <row r="65" spans="3:5" x14ac:dyDescent="0.25">
      <c r="C65" s="2" t="s">
        <v>84</v>
      </c>
      <c r="D65" s="2" t="s">
        <v>85</v>
      </c>
      <c r="E65" s="1">
        <v>300</v>
      </c>
    </row>
    <row r="66" spans="3:5" x14ac:dyDescent="0.25">
      <c r="C66" s="2"/>
      <c r="D66" s="2"/>
      <c r="E66" s="1"/>
    </row>
    <row r="67" spans="3:5" x14ac:dyDescent="0.25">
      <c r="C67" s="2" t="s">
        <v>86</v>
      </c>
      <c r="D67" s="2">
        <v>1500</v>
      </c>
      <c r="E67" s="1">
        <v>1500</v>
      </c>
    </row>
    <row r="68" spans="3:5" x14ac:dyDescent="0.25">
      <c r="C68" s="2" t="s">
        <v>87</v>
      </c>
      <c r="D68" s="2">
        <v>500</v>
      </c>
      <c r="E68" s="1">
        <v>500</v>
      </c>
    </row>
    <row r="69" spans="3:5" x14ac:dyDescent="0.25">
      <c r="C69" s="2"/>
      <c r="D69" s="2"/>
      <c r="E69" s="1"/>
    </row>
    <row r="70" spans="3:5" x14ac:dyDescent="0.25">
      <c r="C70" s="2"/>
      <c r="D70" s="2"/>
      <c r="E70" s="1"/>
    </row>
    <row r="71" spans="3:5" x14ac:dyDescent="0.25">
      <c r="C71" s="2"/>
      <c r="D71" s="2" t="s">
        <v>88</v>
      </c>
      <c r="E71" s="1">
        <f>SUM(E4:E70)</f>
        <v>10791</v>
      </c>
    </row>
    <row r="72" spans="3:5" x14ac:dyDescent="0.25">
      <c r="C72" s="2"/>
      <c r="D72" s="2"/>
      <c r="E72" s="1"/>
    </row>
  </sheetData>
  <mergeCells count="1">
    <mergeCell ref="I4:J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</dc:creator>
  <cp:lastModifiedBy>José Augusto</cp:lastModifiedBy>
  <cp:lastPrinted>2024-03-26T18:54:46Z</cp:lastPrinted>
  <dcterms:created xsi:type="dcterms:W3CDTF">2022-04-04T14:12:42Z</dcterms:created>
  <dcterms:modified xsi:type="dcterms:W3CDTF">2026-02-15T22:12:15Z</dcterms:modified>
</cp:coreProperties>
</file>